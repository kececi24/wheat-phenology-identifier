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Ders\blg521\"/>
    </mc:Choice>
  </mc:AlternateContent>
  <xr:revisionPtr revIDLastSave="0" documentId="13_ncr:1_{E5F885CD-C54B-4600-AEF7-D0A4FF2D3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S4" i="1" s="1"/>
  <c r="M4" i="1"/>
  <c r="N4" i="1"/>
  <c r="O4" i="1"/>
  <c r="P4" i="1"/>
  <c r="Q4" i="1"/>
  <c r="R4" i="1"/>
  <c r="R19" i="1" l="1"/>
  <c r="Q19" i="1"/>
  <c r="P19" i="1"/>
  <c r="O19" i="1"/>
  <c r="N19" i="1"/>
  <c r="M19" i="1"/>
  <c r="L19" i="1"/>
  <c r="R18" i="1"/>
  <c r="Q18" i="1"/>
  <c r="P18" i="1"/>
  <c r="O18" i="1"/>
  <c r="N18" i="1"/>
  <c r="M18" i="1"/>
  <c r="L18" i="1"/>
  <c r="R17" i="1"/>
  <c r="Q17" i="1"/>
  <c r="P17" i="1"/>
  <c r="O17" i="1"/>
  <c r="N17" i="1"/>
  <c r="M17" i="1"/>
  <c r="L17" i="1"/>
  <c r="R16" i="1"/>
  <c r="Q16" i="1"/>
  <c r="P16" i="1"/>
  <c r="O16" i="1"/>
  <c r="N16" i="1"/>
  <c r="M16" i="1"/>
  <c r="L16" i="1"/>
  <c r="R15" i="1"/>
  <c r="Q15" i="1"/>
  <c r="P15" i="1"/>
  <c r="O15" i="1"/>
  <c r="N15" i="1"/>
  <c r="M15" i="1"/>
  <c r="L15" i="1"/>
  <c r="L3" i="1"/>
  <c r="M3" i="1"/>
  <c r="N3" i="1"/>
  <c r="O3" i="1"/>
  <c r="P3" i="1"/>
  <c r="Q3" i="1"/>
  <c r="R3" i="1"/>
  <c r="L5" i="1"/>
  <c r="M5" i="1"/>
  <c r="N5" i="1"/>
  <c r="O5" i="1"/>
  <c r="P5" i="1"/>
  <c r="Q5" i="1"/>
  <c r="R5" i="1"/>
  <c r="L6" i="1"/>
  <c r="M6" i="1"/>
  <c r="N6" i="1"/>
  <c r="O6" i="1"/>
  <c r="P6" i="1"/>
  <c r="Q6" i="1"/>
  <c r="R6" i="1"/>
  <c r="L7" i="1"/>
  <c r="M7" i="1"/>
  <c r="N7" i="1"/>
  <c r="O7" i="1"/>
  <c r="P7" i="1"/>
  <c r="Q7" i="1"/>
  <c r="R7" i="1"/>
  <c r="L8" i="1"/>
  <c r="M8" i="1"/>
  <c r="N8" i="1"/>
  <c r="O8" i="1"/>
  <c r="P8" i="1"/>
  <c r="Q8" i="1"/>
  <c r="R8" i="1"/>
  <c r="L9" i="1"/>
  <c r="M9" i="1"/>
  <c r="N9" i="1"/>
  <c r="O9" i="1"/>
  <c r="P9" i="1"/>
  <c r="Q9" i="1"/>
  <c r="R9" i="1"/>
  <c r="L10" i="1"/>
  <c r="M10" i="1"/>
  <c r="N10" i="1"/>
  <c r="O10" i="1"/>
  <c r="P10" i="1"/>
  <c r="Q10" i="1"/>
  <c r="R10" i="1"/>
  <c r="L11" i="1"/>
  <c r="M11" i="1"/>
  <c r="N11" i="1"/>
  <c r="O11" i="1"/>
  <c r="P11" i="1"/>
  <c r="Q11" i="1"/>
  <c r="R11" i="1"/>
  <c r="L12" i="1"/>
  <c r="M12" i="1"/>
  <c r="N12" i="1"/>
  <c r="O12" i="1"/>
  <c r="P12" i="1"/>
  <c r="Q12" i="1"/>
  <c r="R12" i="1"/>
  <c r="L13" i="1"/>
  <c r="M13" i="1"/>
  <c r="N13" i="1"/>
  <c r="O13" i="1"/>
  <c r="P13" i="1"/>
  <c r="Q13" i="1"/>
  <c r="R13" i="1"/>
  <c r="L14" i="1"/>
  <c r="M14" i="1"/>
  <c r="N14" i="1"/>
  <c r="O14" i="1"/>
  <c r="P14" i="1"/>
  <c r="Q14" i="1"/>
  <c r="R14" i="1"/>
  <c r="L20" i="1"/>
  <c r="M20" i="1"/>
  <c r="N20" i="1"/>
  <c r="O20" i="1"/>
  <c r="P20" i="1"/>
  <c r="Q20" i="1"/>
  <c r="R20" i="1"/>
  <c r="L21" i="1"/>
  <c r="M21" i="1"/>
  <c r="N21" i="1"/>
  <c r="O21" i="1"/>
  <c r="P21" i="1"/>
  <c r="Q21" i="1"/>
  <c r="R21" i="1"/>
  <c r="L22" i="1"/>
  <c r="M22" i="1"/>
  <c r="N22" i="1"/>
  <c r="O22" i="1"/>
  <c r="P22" i="1"/>
  <c r="Q22" i="1"/>
  <c r="R22" i="1"/>
  <c r="L23" i="1"/>
  <c r="M23" i="1"/>
  <c r="N23" i="1"/>
  <c r="O23" i="1"/>
  <c r="P23" i="1"/>
  <c r="Q23" i="1"/>
  <c r="R23" i="1"/>
  <c r="L24" i="1"/>
  <c r="M24" i="1"/>
  <c r="N24" i="1"/>
  <c r="O24" i="1"/>
  <c r="P24" i="1"/>
  <c r="Q24" i="1"/>
  <c r="R24" i="1"/>
  <c r="L25" i="1"/>
  <c r="M25" i="1"/>
  <c r="N25" i="1"/>
  <c r="O25" i="1"/>
  <c r="P25" i="1"/>
  <c r="Q25" i="1"/>
  <c r="R25" i="1"/>
  <c r="N2" i="1"/>
  <c r="M2" i="1"/>
  <c r="L2" i="1"/>
  <c r="O2" i="1"/>
  <c r="P2" i="1"/>
  <c r="Q2" i="1"/>
  <c r="R2" i="1"/>
  <c r="C10" i="1"/>
  <c r="S19" i="1" l="1"/>
  <c r="S18" i="1"/>
  <c r="S17" i="1"/>
  <c r="S15" i="1"/>
  <c r="S16" i="1"/>
  <c r="S3" i="1"/>
  <c r="S23" i="1"/>
  <c r="S21" i="1"/>
  <c r="N26" i="1"/>
  <c r="R26" i="1"/>
  <c r="Q26" i="1"/>
  <c r="P26" i="1"/>
  <c r="S25" i="1"/>
  <c r="O26" i="1"/>
  <c r="M26" i="1"/>
  <c r="S13" i="1"/>
  <c r="S9" i="1"/>
  <c r="S7" i="1"/>
  <c r="S8" i="1"/>
  <c r="S20" i="1"/>
  <c r="S22" i="1"/>
  <c r="S10" i="1"/>
  <c r="S14" i="1"/>
  <c r="L26" i="1"/>
  <c r="S5" i="1"/>
  <c r="S24" i="1"/>
  <c r="S6" i="1"/>
  <c r="S2" i="1"/>
  <c r="S12" i="1"/>
  <c r="S11" i="1"/>
  <c r="S26" i="1" l="1"/>
</calcChain>
</file>

<file path=xl/sharedStrings.xml><?xml version="1.0" encoding="utf-8"?>
<sst xmlns="http://schemas.openxmlformats.org/spreadsheetml/2006/main" count="76" uniqueCount="51">
  <si>
    <t>ID</t>
  </si>
  <si>
    <t>Station Code</t>
  </si>
  <si>
    <t>Year</t>
  </si>
  <si>
    <t>total</t>
  </si>
  <si>
    <t>kamera</t>
  </si>
  <si>
    <t>bitki</t>
  </si>
  <si>
    <t>02.02</t>
  </si>
  <si>
    <t>bugday</t>
  </si>
  <si>
    <t>02.03</t>
  </si>
  <si>
    <t>02.04</t>
  </si>
  <si>
    <t>02.05</t>
  </si>
  <si>
    <t>02.06</t>
  </si>
  <si>
    <t>06.01</t>
  </si>
  <si>
    <t>06.02</t>
  </si>
  <si>
    <t>11.03</t>
  </si>
  <si>
    <t>26.11</t>
  </si>
  <si>
    <t>26.12</t>
  </si>
  <si>
    <t>27.02</t>
  </si>
  <si>
    <t>27.04</t>
  </si>
  <si>
    <t>27.05</t>
  </si>
  <si>
    <t>yorumlar</t>
  </si>
  <si>
    <t>fotoğraflar iyi değil</t>
  </si>
  <si>
    <t>1-Sowing</t>
  </si>
  <si>
    <t>2 - Emergence</t>
  </si>
  <si>
    <t>4 - Stem Elongation</t>
  </si>
  <si>
    <t>5 - Heading</t>
  </si>
  <si>
    <t>6 - Flowering</t>
  </si>
  <si>
    <t>7 - Maturity</t>
  </si>
  <si>
    <t>8 - Harvest</t>
  </si>
  <si>
    <t>BBCH 0</t>
  </si>
  <si>
    <t>BBCH 1</t>
  </si>
  <si>
    <t>BBCH 2</t>
  </si>
  <si>
    <t>BBCH 3</t>
  </si>
  <si>
    <t>BBCH 5</t>
  </si>
  <si>
    <t>01.01</t>
  </si>
  <si>
    <t>01.05</t>
  </si>
  <si>
    <t>3 - Tillering</t>
  </si>
  <si>
    <t>BBCH 6_7</t>
  </si>
  <si>
    <t>BBCH 8</t>
  </si>
  <si>
    <t>kullanılmadı</t>
  </si>
  <si>
    <t>fotoğraf yoktu</t>
  </si>
  <si>
    <t>foto sıkıntı</t>
  </si>
  <si>
    <t>sıkıntı</t>
  </si>
  <si>
    <t>14.01</t>
  </si>
  <si>
    <t>hasat belli değil</t>
  </si>
  <si>
    <t>17.01</t>
  </si>
  <si>
    <t>17.02</t>
  </si>
  <si>
    <t>2013 fotolar yok</t>
  </si>
  <si>
    <t>18.04</t>
  </si>
  <si>
    <t>21.05</t>
  </si>
  <si>
    <t>01.17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</si>
</sst>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3" x14ac:knownFonts="1">
    <font>
      <sz val="10"/>
      <color rgb="FF000000"/>
      <name val="Arial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9C5700"/>
      <name val="Arial"/>
    </font>
    <font>
      <b/>
      <sz val="11"/>
      <color rgb="FFFA7D00"/>
      <name val="Arial"/>
    </font>
    <font>
      <b/>
      <sz val="11"/>
      <color rgb="FFFA7D00"/>
      <name val="Arial"/>
    </font>
    <font>
      <sz val="11"/>
      <color theme="1"/>
      <name val="Calibri"/>
    </font>
    <font>
      <sz val="10"/>
      <color rgb="FF000000"/>
      <name val="Arial"/>
    </font>
    <font>
      <sz val="11"/>
      <color rgb="FF000000"/>
      <name val="Calibri"/>
    </font>
    <font>
      <sz val="8"/>
      <name val="Arial"/>
    </font>
    <font>
      <sz val="10"/>
      <name val="Arial"/>
      <family val="2"/>
      <charset val="162"/>
    </font>
    <font>
      <sz val="11"/>
      <name val="Arial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A3FF"/>
      </patternFill>
    </fill>
    <fill>
      <patternFill patternType="solid">
        <fgColor rgb="FFF2F2F2"/>
      </patternFill>
    </fill>
    <fill>
      <patternFill patternType="solid">
        <fgColor rgb="FFFCE5CD"/>
      </patternFill>
    </fill>
    <fill>
      <patternFill patternType="solid">
        <fgColor rgb="FFF3F3F3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8" fillId="0" borderId="0"/>
  </cellStyleXfs>
  <cellXfs count="39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1" applyBorder="1" applyAlignment="1">
      <alignment horizontal="center" vertical="center"/>
    </xf>
    <xf numFmtId="1" fontId="4" fillId="2" borderId="1" xfId="1" applyNumberFormat="1" applyBorder="1"/>
    <xf numFmtId="0" fontId="0" fillId="0" borderId="1" xfId="0" applyBorder="1" applyAlignment="1">
      <alignment horizontal="center" vertical="center"/>
    </xf>
    <xf numFmtId="1" fontId="4" fillId="2" borderId="2" xfId="1" applyNumberFormat="1" applyBorder="1"/>
    <xf numFmtId="0" fontId="4" fillId="2" borderId="1" xfId="1" applyBorder="1"/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4" fillId="2" borderId="1" xfId="1" applyNumberFormat="1" applyBorder="1" applyAlignment="1">
      <alignment horizontal="left"/>
    </xf>
    <xf numFmtId="0" fontId="5" fillId="5" borderId="3" xfId="0" applyFont="1" applyFill="1" applyBorder="1" applyAlignment="1">
      <alignment horizontal="center" vertical="center"/>
    </xf>
    <xf numFmtId="2" fontId="6" fillId="5" borderId="3" xfId="0" applyNumberFormat="1" applyFont="1" applyFill="1" applyBorder="1" applyAlignment="1">
      <alignment horizontal="left"/>
    </xf>
    <xf numFmtId="0" fontId="9" fillId="0" borderId="0" xfId="2" applyFont="1" applyAlignment="1">
      <alignment horizontal="center" vertical="center"/>
    </xf>
    <xf numFmtId="2" fontId="7" fillId="6" borderId="0" xfId="2" applyNumberFormat="1" applyFont="1" applyFill="1" applyAlignment="1">
      <alignment horizontal="left"/>
    </xf>
    <xf numFmtId="0" fontId="8" fillId="0" borderId="0" xfId="0" applyFont="1"/>
    <xf numFmtId="164" fontId="4" fillId="2" borderId="1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7" fillId="7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165" fontId="2" fillId="3" borderId="1" xfId="0" quotePrefix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2" fontId="1" fillId="0" borderId="1" xfId="0" quotePrefix="1" applyNumberFormat="1" applyFont="1" applyBorder="1" applyAlignment="1">
      <alignment vertical="center"/>
    </xf>
    <xf numFmtId="1" fontId="0" fillId="0" borderId="0" xfId="0" applyNumberFormat="1"/>
    <xf numFmtId="49" fontId="12" fillId="8" borderId="0" xfId="1" applyNumberFormat="1" applyFont="1" applyFill="1" applyBorder="1" applyAlignment="1">
      <alignment horizontal="left"/>
    </xf>
    <xf numFmtId="0" fontId="12" fillId="8" borderId="0" xfId="1" applyFont="1" applyFill="1" applyBorder="1" applyAlignment="1">
      <alignment horizontal="center" vertical="center"/>
    </xf>
    <xf numFmtId="164" fontId="12" fillId="8" borderId="0" xfId="0" applyNumberFormat="1" applyFont="1" applyFill="1" applyAlignment="1">
      <alignment horizontal="center"/>
    </xf>
    <xf numFmtId="1" fontId="12" fillId="8" borderId="1" xfId="1" applyNumberFormat="1" applyFont="1" applyFill="1" applyBorder="1"/>
    <xf numFmtId="1" fontId="12" fillId="8" borderId="2" xfId="1" applyNumberFormat="1" applyFont="1" applyFill="1" applyBorder="1"/>
    <xf numFmtId="0" fontId="12" fillId="8" borderId="1" xfId="1" applyFont="1" applyFill="1" applyBorder="1"/>
    <xf numFmtId="0" fontId="11" fillId="8" borderId="0" xfId="0" applyFont="1" applyFill="1"/>
  </cellXfs>
  <cellStyles count="3">
    <cellStyle name="Normal" xfId="0" builtinId="0"/>
    <cellStyle name="Normal 2" xfId="2" xr:uid="{00000000-0005-0000-0000-000001000000}"/>
    <cellStyle name="Nötr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topLeftCell="G4" zoomScaleNormal="100" workbookViewId="0">
      <selection activeCell="U29" sqref="U29"/>
    </sheetView>
  </sheetViews>
  <sheetFormatPr defaultColWidth="12.6640625" defaultRowHeight="13.2" x14ac:dyDescent="0.25"/>
  <cols>
    <col min="1" max="1" width="3" customWidth="1"/>
    <col min="2" max="2" width="12.109375" customWidth="1"/>
    <col min="3" max="3" width="11.6640625" customWidth="1"/>
    <col min="4" max="4" width="12.88671875" customWidth="1"/>
    <col min="5" max="5" width="14.5546875" customWidth="1"/>
    <col min="6" max="6" width="16.33203125" customWidth="1"/>
    <col min="7" max="7" width="19.33203125" customWidth="1"/>
    <col min="8" max="8" width="16.44140625" customWidth="1"/>
    <col min="9" max="9" width="15.5546875" customWidth="1"/>
    <col min="10" max="10" width="15.88671875" customWidth="1"/>
    <col min="11" max="11" width="16.5546875" customWidth="1"/>
    <col min="12" max="12" width="14.33203125" customWidth="1"/>
    <col min="13" max="13" width="10.88671875" customWidth="1"/>
    <col min="14" max="14" width="10.77734375" customWidth="1"/>
    <col min="15" max="15" width="13.6640625" customWidth="1"/>
    <col min="16" max="16" width="9.77734375" customWidth="1"/>
    <col min="17" max="17" width="13.21875" customWidth="1"/>
    <col min="18" max="18" width="8.6640625" customWidth="1"/>
    <col min="19" max="19" width="8.77734375" customWidth="1"/>
    <col min="20" max="20" width="7.5546875" customWidth="1"/>
    <col min="21" max="21" width="9.109375" customWidth="1"/>
    <col min="22" max="22" width="8" customWidth="1"/>
    <col min="23" max="23" width="13.21875" customWidth="1"/>
  </cols>
  <sheetData>
    <row r="1" spans="1:23" ht="41.4" customHeight="1" x14ac:dyDescent="0.25">
      <c r="A1" s="6" t="s">
        <v>0</v>
      </c>
      <c r="B1" s="2" t="s">
        <v>1</v>
      </c>
      <c r="C1" s="3" t="s">
        <v>2</v>
      </c>
      <c r="D1" s="9" t="s">
        <v>22</v>
      </c>
      <c r="E1" s="10" t="s">
        <v>23</v>
      </c>
      <c r="F1" s="10" t="s">
        <v>36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1" t="s">
        <v>29</v>
      </c>
      <c r="M1" s="11" t="s">
        <v>30</v>
      </c>
      <c r="N1" s="11" t="s">
        <v>31</v>
      </c>
      <c r="O1" s="12" t="s">
        <v>32</v>
      </c>
      <c r="P1" s="11" t="s">
        <v>33</v>
      </c>
      <c r="Q1" s="11" t="s">
        <v>37</v>
      </c>
      <c r="R1" s="11" t="s">
        <v>38</v>
      </c>
      <c r="S1" s="13" t="s">
        <v>3</v>
      </c>
      <c r="T1" s="3" t="s">
        <v>4</v>
      </c>
      <c r="U1" s="3" t="s">
        <v>5</v>
      </c>
      <c r="V1" t="s">
        <v>20</v>
      </c>
    </row>
    <row r="2" spans="1:23" ht="14.4" x14ac:dyDescent="0.25">
      <c r="A2" s="26">
        <v>1</v>
      </c>
      <c r="B2" s="30" t="s">
        <v>34</v>
      </c>
      <c r="C2" s="10">
        <v>2014</v>
      </c>
      <c r="D2" s="24">
        <v>41978</v>
      </c>
      <c r="E2" s="25">
        <v>41989</v>
      </c>
      <c r="F2" s="25">
        <v>42012</v>
      </c>
      <c r="G2" s="25">
        <v>42065</v>
      </c>
      <c r="H2" s="27">
        <v>42089</v>
      </c>
      <c r="I2" s="27">
        <v>42106</v>
      </c>
      <c r="J2" s="27">
        <v>42141</v>
      </c>
      <c r="K2" s="28">
        <v>42165</v>
      </c>
      <c r="L2" s="5">
        <f>E2-D2</f>
        <v>11</v>
      </c>
      <c r="M2" s="5">
        <f>F2-E2</f>
        <v>23</v>
      </c>
      <c r="N2" s="5">
        <f>G2-F2</f>
        <v>53</v>
      </c>
      <c r="O2" s="7">
        <f t="shared" ref="O2" si="0">H2-G2</f>
        <v>24</v>
      </c>
      <c r="P2" s="5">
        <f t="shared" ref="P2" si="1">I2-H2</f>
        <v>17</v>
      </c>
      <c r="Q2" s="5">
        <f t="shared" ref="Q2" si="2">J2-I2</f>
        <v>35</v>
      </c>
      <c r="R2" s="5">
        <f t="shared" ref="R2" si="3">K2-J2</f>
        <v>24</v>
      </c>
      <c r="S2" s="5">
        <f t="shared" ref="S2:S25" si="4">SUM(L2:R2)</f>
        <v>187</v>
      </c>
      <c r="T2" s="29">
        <v>1</v>
      </c>
      <c r="U2" s="8" t="s">
        <v>7</v>
      </c>
    </row>
    <row r="3" spans="1:23" ht="14.4" x14ac:dyDescent="0.25">
      <c r="A3" s="26">
        <v>2</v>
      </c>
      <c r="B3" s="30" t="s">
        <v>35</v>
      </c>
      <c r="C3" s="10">
        <v>2016</v>
      </c>
      <c r="D3" s="25">
        <v>42690</v>
      </c>
      <c r="E3" s="25">
        <v>42726</v>
      </c>
      <c r="F3" s="25">
        <v>42752</v>
      </c>
      <c r="G3" s="25">
        <v>42800</v>
      </c>
      <c r="H3" s="27">
        <v>42833</v>
      </c>
      <c r="I3" s="27">
        <v>42844</v>
      </c>
      <c r="J3" s="27">
        <v>42873</v>
      </c>
      <c r="K3" s="28">
        <v>42894</v>
      </c>
      <c r="L3" s="5">
        <f t="shared" ref="L3:L25" si="5">E3-D3</f>
        <v>36</v>
      </c>
      <c r="M3" s="5">
        <f t="shared" ref="M3:M25" si="6">F3-E3</f>
        <v>26</v>
      </c>
      <c r="N3" s="5">
        <f t="shared" ref="N3:N25" si="7">G3-F3</f>
        <v>48</v>
      </c>
      <c r="O3" s="7">
        <f t="shared" ref="O3:O25" si="8">H3-G3</f>
        <v>33</v>
      </c>
      <c r="P3" s="5">
        <f t="shared" ref="P3:P25" si="9">I3-H3</f>
        <v>11</v>
      </c>
      <c r="Q3" s="5">
        <f t="shared" ref="Q3:Q25" si="10">J3-I3</f>
        <v>29</v>
      </c>
      <c r="R3" s="5">
        <f t="shared" ref="R3:R25" si="11">K3-J3</f>
        <v>21</v>
      </c>
      <c r="S3" s="5">
        <f t="shared" si="4"/>
        <v>204</v>
      </c>
      <c r="T3" s="29">
        <v>2</v>
      </c>
      <c r="U3" s="8" t="s">
        <v>7</v>
      </c>
      <c r="W3" s="31"/>
    </row>
    <row r="4" spans="1:23" ht="14.4" x14ac:dyDescent="0.25">
      <c r="A4" s="26">
        <v>3</v>
      </c>
      <c r="B4" s="30" t="s">
        <v>50</v>
      </c>
      <c r="C4" s="10">
        <v>2016</v>
      </c>
      <c r="D4" s="25">
        <v>42695</v>
      </c>
      <c r="E4" s="25">
        <v>42717</v>
      </c>
      <c r="F4" s="25">
        <v>42753</v>
      </c>
      <c r="G4" s="25">
        <v>42782</v>
      </c>
      <c r="H4" s="27">
        <v>42810</v>
      </c>
      <c r="I4" s="27">
        <v>42821</v>
      </c>
      <c r="J4" s="27">
        <v>42858</v>
      </c>
      <c r="K4" s="27">
        <v>42885</v>
      </c>
      <c r="L4" s="5">
        <f t="shared" ref="L4" si="12">E4-D4</f>
        <v>22</v>
      </c>
      <c r="M4" s="5">
        <f t="shared" ref="M4" si="13">F4-E4</f>
        <v>36</v>
      </c>
      <c r="N4" s="5">
        <f t="shared" ref="N4" si="14">G4-F4</f>
        <v>29</v>
      </c>
      <c r="O4" s="7">
        <f t="shared" ref="O4" si="15">H4-G4</f>
        <v>28</v>
      </c>
      <c r="P4" s="5">
        <f t="shared" ref="P4" si="16">I4-H4</f>
        <v>11</v>
      </c>
      <c r="Q4" s="5">
        <f t="shared" ref="Q4" si="17">J4-I4</f>
        <v>37</v>
      </c>
      <c r="R4" s="5">
        <f t="shared" ref="R4" si="18">K4-J4</f>
        <v>27</v>
      </c>
      <c r="S4" s="5">
        <f t="shared" ref="S4" si="19">SUM(L4:R4)</f>
        <v>190</v>
      </c>
      <c r="T4" s="29">
        <v>1</v>
      </c>
      <c r="U4" s="8"/>
      <c r="W4" s="31"/>
    </row>
    <row r="5" spans="1:23" ht="13.8" x14ac:dyDescent="0.25">
      <c r="A5" s="26">
        <v>4</v>
      </c>
      <c r="B5" s="14" t="s">
        <v>6</v>
      </c>
      <c r="C5" s="4">
        <v>2014</v>
      </c>
      <c r="D5" s="20">
        <v>41975</v>
      </c>
      <c r="E5" s="20">
        <v>41997</v>
      </c>
      <c r="F5" s="20">
        <v>42054</v>
      </c>
      <c r="G5" s="20">
        <v>42069</v>
      </c>
      <c r="H5" s="20">
        <v>42125</v>
      </c>
      <c r="I5" s="20">
        <v>42141</v>
      </c>
      <c r="J5" s="20">
        <v>42152</v>
      </c>
      <c r="K5" s="20">
        <v>42187</v>
      </c>
      <c r="L5" s="5">
        <f t="shared" si="5"/>
        <v>22</v>
      </c>
      <c r="M5" s="5">
        <f t="shared" si="6"/>
        <v>57</v>
      </c>
      <c r="N5" s="5">
        <f t="shared" si="7"/>
        <v>15</v>
      </c>
      <c r="O5" s="7">
        <f t="shared" si="8"/>
        <v>56</v>
      </c>
      <c r="P5" s="5">
        <f t="shared" si="9"/>
        <v>16</v>
      </c>
      <c r="Q5" s="5">
        <f t="shared" si="10"/>
        <v>11</v>
      </c>
      <c r="R5" s="5">
        <f t="shared" si="11"/>
        <v>35</v>
      </c>
      <c r="S5" s="5">
        <f t="shared" si="4"/>
        <v>212</v>
      </c>
      <c r="T5" s="8">
        <v>1</v>
      </c>
      <c r="U5" s="8" t="s">
        <v>7</v>
      </c>
    </row>
    <row r="6" spans="1:23" ht="13.8" x14ac:dyDescent="0.25">
      <c r="A6" s="26">
        <v>5</v>
      </c>
      <c r="B6" s="14" t="s">
        <v>8</v>
      </c>
      <c r="C6" s="4">
        <v>2013</v>
      </c>
      <c r="D6" s="20">
        <v>41581</v>
      </c>
      <c r="E6" s="20">
        <v>41595</v>
      </c>
      <c r="F6" s="20">
        <v>41670</v>
      </c>
      <c r="G6" s="20">
        <v>41705</v>
      </c>
      <c r="H6" s="20">
        <v>41749</v>
      </c>
      <c r="I6" s="20">
        <v>41761</v>
      </c>
      <c r="J6" s="20">
        <v>41771</v>
      </c>
      <c r="K6" s="20">
        <v>41802</v>
      </c>
      <c r="L6" s="5">
        <f t="shared" si="5"/>
        <v>14</v>
      </c>
      <c r="M6" s="5">
        <f t="shared" si="6"/>
        <v>75</v>
      </c>
      <c r="N6" s="5">
        <f t="shared" si="7"/>
        <v>35</v>
      </c>
      <c r="O6" s="7">
        <f t="shared" si="8"/>
        <v>44</v>
      </c>
      <c r="P6" s="5">
        <f t="shared" si="9"/>
        <v>12</v>
      </c>
      <c r="Q6" s="5">
        <f t="shared" si="10"/>
        <v>10</v>
      </c>
      <c r="R6" s="5">
        <f t="shared" si="11"/>
        <v>31</v>
      </c>
      <c r="S6" s="5">
        <f t="shared" si="4"/>
        <v>221</v>
      </c>
      <c r="T6" s="8">
        <v>1</v>
      </c>
      <c r="U6" s="8" t="s">
        <v>7</v>
      </c>
    </row>
    <row r="7" spans="1:23" ht="13.8" x14ac:dyDescent="0.25">
      <c r="A7" s="26">
        <v>6</v>
      </c>
      <c r="B7" s="14" t="s">
        <v>8</v>
      </c>
      <c r="C7" s="4">
        <v>2014</v>
      </c>
      <c r="D7" s="20">
        <v>41958</v>
      </c>
      <c r="E7" s="20">
        <v>41978</v>
      </c>
      <c r="F7" s="20">
        <v>42029</v>
      </c>
      <c r="G7" s="20">
        <v>42083</v>
      </c>
      <c r="H7" s="20">
        <v>42113</v>
      </c>
      <c r="I7" s="20">
        <v>42133</v>
      </c>
      <c r="J7" s="20">
        <v>42146</v>
      </c>
      <c r="K7" s="20">
        <v>42168</v>
      </c>
      <c r="L7" s="5">
        <f t="shared" si="5"/>
        <v>20</v>
      </c>
      <c r="M7" s="5">
        <f t="shared" si="6"/>
        <v>51</v>
      </c>
      <c r="N7" s="5">
        <f t="shared" si="7"/>
        <v>54</v>
      </c>
      <c r="O7" s="7">
        <f t="shared" si="8"/>
        <v>30</v>
      </c>
      <c r="P7" s="5">
        <f t="shared" si="9"/>
        <v>20</v>
      </c>
      <c r="Q7" s="5">
        <f t="shared" si="10"/>
        <v>13</v>
      </c>
      <c r="R7" s="5">
        <f t="shared" si="11"/>
        <v>22</v>
      </c>
      <c r="S7" s="5">
        <f t="shared" si="4"/>
        <v>210</v>
      </c>
      <c r="T7" s="8">
        <v>1</v>
      </c>
      <c r="U7" s="8" t="s">
        <v>7</v>
      </c>
    </row>
    <row r="8" spans="1:23" ht="13.8" x14ac:dyDescent="0.25">
      <c r="A8" s="26">
        <v>7</v>
      </c>
      <c r="B8" s="14" t="s">
        <v>9</v>
      </c>
      <c r="C8" s="4">
        <v>2013</v>
      </c>
      <c r="D8" s="20">
        <v>41602</v>
      </c>
      <c r="E8" s="20">
        <v>41623</v>
      </c>
      <c r="F8" s="20">
        <v>41685</v>
      </c>
      <c r="G8" s="20">
        <v>41704</v>
      </c>
      <c r="H8" s="20">
        <v>41749</v>
      </c>
      <c r="I8" s="20">
        <v>41764</v>
      </c>
      <c r="J8" s="20">
        <v>41777</v>
      </c>
      <c r="K8" s="20">
        <v>41807</v>
      </c>
      <c r="L8" s="5">
        <f t="shared" si="5"/>
        <v>21</v>
      </c>
      <c r="M8" s="5">
        <f t="shared" si="6"/>
        <v>62</v>
      </c>
      <c r="N8" s="5">
        <f t="shared" si="7"/>
        <v>19</v>
      </c>
      <c r="O8" s="7">
        <f t="shared" si="8"/>
        <v>45</v>
      </c>
      <c r="P8" s="5">
        <f t="shared" si="9"/>
        <v>15</v>
      </c>
      <c r="Q8" s="5">
        <f t="shared" si="10"/>
        <v>13</v>
      </c>
      <c r="R8" s="5">
        <f t="shared" si="11"/>
        <v>30</v>
      </c>
      <c r="S8" s="5">
        <f t="shared" si="4"/>
        <v>205</v>
      </c>
      <c r="T8" s="8">
        <v>1</v>
      </c>
      <c r="U8" s="8" t="s">
        <v>7</v>
      </c>
    </row>
    <row r="9" spans="1:23" ht="13.8" x14ac:dyDescent="0.25">
      <c r="A9" s="26">
        <v>8</v>
      </c>
      <c r="B9" s="14" t="s">
        <v>10</v>
      </c>
      <c r="C9" s="4">
        <v>2013</v>
      </c>
      <c r="D9" s="20">
        <v>41593</v>
      </c>
      <c r="E9" s="20">
        <v>41633</v>
      </c>
      <c r="F9" s="20">
        <v>41678</v>
      </c>
      <c r="G9" s="20">
        <v>41704</v>
      </c>
      <c r="H9" s="20">
        <v>41749</v>
      </c>
      <c r="I9" s="20">
        <v>41762</v>
      </c>
      <c r="J9" s="20">
        <v>41779</v>
      </c>
      <c r="K9" s="20">
        <v>41814</v>
      </c>
      <c r="L9" s="5">
        <f t="shared" si="5"/>
        <v>40</v>
      </c>
      <c r="M9" s="5">
        <f t="shared" si="6"/>
        <v>45</v>
      </c>
      <c r="N9" s="5">
        <f t="shared" si="7"/>
        <v>26</v>
      </c>
      <c r="O9" s="7">
        <f t="shared" si="8"/>
        <v>45</v>
      </c>
      <c r="P9" s="5">
        <f t="shared" si="9"/>
        <v>13</v>
      </c>
      <c r="Q9" s="5">
        <f t="shared" si="10"/>
        <v>17</v>
      </c>
      <c r="R9" s="5">
        <f t="shared" si="11"/>
        <v>35</v>
      </c>
      <c r="S9" s="5">
        <f t="shared" si="4"/>
        <v>221</v>
      </c>
      <c r="T9" s="8">
        <v>1</v>
      </c>
      <c r="U9" s="8" t="s">
        <v>7</v>
      </c>
    </row>
    <row r="10" spans="1:23" ht="13.8" x14ac:dyDescent="0.25">
      <c r="A10" s="26">
        <v>9</v>
      </c>
      <c r="B10" s="14" t="s">
        <v>11</v>
      </c>
      <c r="C10" s="4">
        <f t="shared" ref="C10" si="20">YEAR(D10)</f>
        <v>2016</v>
      </c>
      <c r="D10" s="20">
        <v>42686</v>
      </c>
      <c r="E10" s="20">
        <v>42711</v>
      </c>
      <c r="F10" s="20">
        <v>42781</v>
      </c>
      <c r="G10" s="20">
        <v>42810</v>
      </c>
      <c r="H10" s="20">
        <v>42857</v>
      </c>
      <c r="I10" s="20">
        <v>42871</v>
      </c>
      <c r="J10" s="20">
        <v>42891</v>
      </c>
      <c r="K10" s="20">
        <v>42906</v>
      </c>
      <c r="L10" s="5">
        <f t="shared" si="5"/>
        <v>25</v>
      </c>
      <c r="M10" s="5">
        <f t="shared" si="6"/>
        <v>70</v>
      </c>
      <c r="N10" s="5">
        <f t="shared" si="7"/>
        <v>29</v>
      </c>
      <c r="O10" s="7">
        <f t="shared" si="8"/>
        <v>47</v>
      </c>
      <c r="P10" s="5">
        <f t="shared" si="9"/>
        <v>14</v>
      </c>
      <c r="Q10" s="5">
        <f t="shared" si="10"/>
        <v>20</v>
      </c>
      <c r="R10" s="5">
        <f t="shared" si="11"/>
        <v>15</v>
      </c>
      <c r="S10" s="5">
        <f t="shared" si="4"/>
        <v>220</v>
      </c>
      <c r="T10" s="8">
        <v>2</v>
      </c>
      <c r="U10" s="8" t="s">
        <v>7</v>
      </c>
      <c r="W10" s="31"/>
    </row>
    <row r="11" spans="1:23" ht="13.8" x14ac:dyDescent="0.25">
      <c r="A11" s="26">
        <v>10</v>
      </c>
      <c r="B11" s="14" t="s">
        <v>12</v>
      </c>
      <c r="C11" s="4">
        <v>2013</v>
      </c>
      <c r="D11" s="20">
        <v>41592</v>
      </c>
      <c r="E11" s="20">
        <v>41697</v>
      </c>
      <c r="F11" s="20">
        <v>41727</v>
      </c>
      <c r="G11" s="20">
        <v>41751</v>
      </c>
      <c r="H11" s="20">
        <v>41781</v>
      </c>
      <c r="I11" s="20">
        <v>41796</v>
      </c>
      <c r="J11" s="20">
        <v>41815</v>
      </c>
      <c r="K11" s="20">
        <v>41842</v>
      </c>
      <c r="L11" s="5">
        <f t="shared" si="5"/>
        <v>105</v>
      </c>
      <c r="M11" s="5">
        <f t="shared" si="6"/>
        <v>30</v>
      </c>
      <c r="N11" s="5">
        <f t="shared" si="7"/>
        <v>24</v>
      </c>
      <c r="O11" s="7">
        <f t="shared" si="8"/>
        <v>30</v>
      </c>
      <c r="P11" s="5">
        <f t="shared" si="9"/>
        <v>15</v>
      </c>
      <c r="Q11" s="5">
        <f t="shared" si="10"/>
        <v>19</v>
      </c>
      <c r="R11" s="5">
        <f t="shared" si="11"/>
        <v>27</v>
      </c>
      <c r="S11" s="5">
        <f t="shared" si="4"/>
        <v>250</v>
      </c>
      <c r="T11" s="8">
        <v>1</v>
      </c>
      <c r="U11" s="8" t="s">
        <v>7</v>
      </c>
    </row>
    <row r="12" spans="1:23" ht="13.8" x14ac:dyDescent="0.25">
      <c r="A12" s="26">
        <v>11</v>
      </c>
      <c r="B12" s="14" t="s">
        <v>13</v>
      </c>
      <c r="C12" s="4">
        <v>2013</v>
      </c>
      <c r="D12" s="20">
        <v>41627</v>
      </c>
      <c r="E12" s="20">
        <v>41683</v>
      </c>
      <c r="F12" s="20">
        <v>41723</v>
      </c>
      <c r="G12" s="20">
        <v>41751</v>
      </c>
      <c r="H12" s="20">
        <v>41782</v>
      </c>
      <c r="I12" s="20">
        <v>41794</v>
      </c>
      <c r="J12" s="20">
        <v>41824</v>
      </c>
      <c r="K12" s="20">
        <v>41844</v>
      </c>
      <c r="L12" s="5">
        <f t="shared" si="5"/>
        <v>56</v>
      </c>
      <c r="M12" s="5">
        <f t="shared" si="6"/>
        <v>40</v>
      </c>
      <c r="N12" s="5">
        <f t="shared" si="7"/>
        <v>28</v>
      </c>
      <c r="O12" s="7">
        <f t="shared" si="8"/>
        <v>31</v>
      </c>
      <c r="P12" s="5">
        <f t="shared" si="9"/>
        <v>12</v>
      </c>
      <c r="Q12" s="5">
        <f t="shared" si="10"/>
        <v>30</v>
      </c>
      <c r="R12" s="5">
        <f t="shared" si="11"/>
        <v>20</v>
      </c>
      <c r="S12" s="5">
        <f t="shared" si="4"/>
        <v>217</v>
      </c>
      <c r="T12" s="8">
        <v>1</v>
      </c>
      <c r="U12" s="8" t="s">
        <v>7</v>
      </c>
      <c r="V12" t="s">
        <v>39</v>
      </c>
    </row>
    <row r="13" spans="1:23" ht="13.8" x14ac:dyDescent="0.25">
      <c r="A13" s="26">
        <v>12</v>
      </c>
      <c r="B13" s="14" t="s">
        <v>13</v>
      </c>
      <c r="C13" s="4">
        <v>2016</v>
      </c>
      <c r="D13" s="20">
        <v>42636</v>
      </c>
      <c r="E13" s="20">
        <v>42799</v>
      </c>
      <c r="F13" s="20">
        <v>42841</v>
      </c>
      <c r="G13" s="20">
        <v>42850</v>
      </c>
      <c r="H13" s="20">
        <v>42882</v>
      </c>
      <c r="I13" s="20">
        <v>42892</v>
      </c>
      <c r="J13" s="20">
        <v>42925</v>
      </c>
      <c r="K13" s="20">
        <v>42940</v>
      </c>
      <c r="L13" s="5">
        <f t="shared" si="5"/>
        <v>163</v>
      </c>
      <c r="M13" s="5">
        <f t="shared" si="6"/>
        <v>42</v>
      </c>
      <c r="N13" s="5">
        <f t="shared" si="7"/>
        <v>9</v>
      </c>
      <c r="O13" s="7">
        <f t="shared" si="8"/>
        <v>32</v>
      </c>
      <c r="P13" s="5">
        <f t="shared" si="9"/>
        <v>10</v>
      </c>
      <c r="Q13" s="5">
        <f t="shared" si="10"/>
        <v>33</v>
      </c>
      <c r="R13" s="5">
        <f t="shared" si="11"/>
        <v>15</v>
      </c>
      <c r="S13" s="5">
        <f t="shared" si="4"/>
        <v>304</v>
      </c>
      <c r="T13" s="8">
        <v>1</v>
      </c>
      <c r="U13" s="8" t="s">
        <v>7</v>
      </c>
      <c r="V13" t="s">
        <v>21</v>
      </c>
    </row>
    <row r="14" spans="1:23" ht="13.8" x14ac:dyDescent="0.25">
      <c r="A14" s="26">
        <v>13</v>
      </c>
      <c r="B14" s="14" t="s">
        <v>14</v>
      </c>
      <c r="C14" s="4">
        <v>2016</v>
      </c>
      <c r="D14" s="20">
        <v>42701</v>
      </c>
      <c r="E14" s="20">
        <v>42767</v>
      </c>
      <c r="F14" s="20">
        <v>42804</v>
      </c>
      <c r="G14" s="20">
        <v>42826</v>
      </c>
      <c r="H14" s="20">
        <v>42865</v>
      </c>
      <c r="I14" s="20">
        <v>42886</v>
      </c>
      <c r="J14" s="20">
        <v>42911</v>
      </c>
      <c r="K14" s="20">
        <v>42926</v>
      </c>
      <c r="L14" s="5">
        <f t="shared" si="5"/>
        <v>66</v>
      </c>
      <c r="M14" s="5">
        <f t="shared" si="6"/>
        <v>37</v>
      </c>
      <c r="N14" s="5">
        <f t="shared" si="7"/>
        <v>22</v>
      </c>
      <c r="O14" s="7">
        <f t="shared" si="8"/>
        <v>39</v>
      </c>
      <c r="P14" s="5">
        <f t="shared" si="9"/>
        <v>21</v>
      </c>
      <c r="Q14" s="5">
        <f t="shared" si="10"/>
        <v>25</v>
      </c>
      <c r="R14" s="5">
        <f t="shared" si="11"/>
        <v>15</v>
      </c>
      <c r="S14" s="5">
        <f t="shared" si="4"/>
        <v>225</v>
      </c>
      <c r="T14" s="8">
        <v>1</v>
      </c>
      <c r="U14" s="8" t="s">
        <v>7</v>
      </c>
      <c r="V14" t="s">
        <v>42</v>
      </c>
    </row>
    <row r="15" spans="1:23" s="38" customFormat="1" ht="13.8" x14ac:dyDescent="0.25">
      <c r="A15" s="26">
        <v>14</v>
      </c>
      <c r="B15" s="32" t="s">
        <v>43</v>
      </c>
      <c r="C15" s="33">
        <v>2016</v>
      </c>
      <c r="D15" s="34">
        <v>42667</v>
      </c>
      <c r="E15" s="34">
        <v>42693</v>
      </c>
      <c r="F15" s="34">
        <v>42805</v>
      </c>
      <c r="G15" s="34">
        <v>42826</v>
      </c>
      <c r="H15" s="34">
        <v>42881</v>
      </c>
      <c r="I15" s="34">
        <v>42892</v>
      </c>
      <c r="J15" s="34">
        <v>42904</v>
      </c>
      <c r="K15" s="34">
        <v>42931</v>
      </c>
      <c r="L15" s="35">
        <f t="shared" ref="L15:N19" si="21">E15-D15</f>
        <v>26</v>
      </c>
      <c r="M15" s="35">
        <f t="shared" si="21"/>
        <v>112</v>
      </c>
      <c r="N15" s="35">
        <f t="shared" si="21"/>
        <v>21</v>
      </c>
      <c r="O15" s="36">
        <f t="shared" si="8"/>
        <v>55</v>
      </c>
      <c r="P15" s="35">
        <f t="shared" si="9"/>
        <v>11</v>
      </c>
      <c r="Q15" s="35">
        <f t="shared" si="10"/>
        <v>12</v>
      </c>
      <c r="R15" s="35">
        <f t="shared" si="11"/>
        <v>27</v>
      </c>
      <c r="S15" s="35">
        <f t="shared" si="4"/>
        <v>264</v>
      </c>
      <c r="T15" s="37">
        <v>1</v>
      </c>
      <c r="U15" s="37" t="s">
        <v>7</v>
      </c>
      <c r="V15" s="38" t="s">
        <v>44</v>
      </c>
    </row>
    <row r="16" spans="1:23" s="38" customFormat="1" ht="13.8" x14ac:dyDescent="0.25">
      <c r="A16" s="26">
        <v>15</v>
      </c>
      <c r="B16" s="32" t="s">
        <v>45</v>
      </c>
      <c r="C16" s="33">
        <v>2013</v>
      </c>
      <c r="D16" s="34">
        <v>41581</v>
      </c>
      <c r="E16" s="34">
        <v>41605</v>
      </c>
      <c r="F16" s="34">
        <v>41663</v>
      </c>
      <c r="G16" s="34">
        <v>41705</v>
      </c>
      <c r="H16" s="34">
        <v>41761</v>
      </c>
      <c r="I16" s="34">
        <v>41784</v>
      </c>
      <c r="J16" s="34">
        <v>41797</v>
      </c>
      <c r="K16" s="34">
        <v>41810</v>
      </c>
      <c r="L16" s="35">
        <f t="shared" si="21"/>
        <v>24</v>
      </c>
      <c r="M16" s="35">
        <f t="shared" si="21"/>
        <v>58</v>
      </c>
      <c r="N16" s="35">
        <f t="shared" si="21"/>
        <v>42</v>
      </c>
      <c r="O16" s="36">
        <f t="shared" si="8"/>
        <v>56</v>
      </c>
      <c r="P16" s="35">
        <f t="shared" si="9"/>
        <v>23</v>
      </c>
      <c r="Q16" s="35">
        <f t="shared" si="10"/>
        <v>13</v>
      </c>
      <c r="R16" s="35">
        <f t="shared" si="11"/>
        <v>13</v>
      </c>
      <c r="S16" s="35">
        <f t="shared" si="4"/>
        <v>229</v>
      </c>
      <c r="T16" s="8">
        <v>1</v>
      </c>
      <c r="U16" s="37" t="s">
        <v>7</v>
      </c>
      <c r="V16" s="38" t="s">
        <v>47</v>
      </c>
    </row>
    <row r="17" spans="1:23" s="38" customFormat="1" ht="13.8" x14ac:dyDescent="0.25">
      <c r="A17" s="26">
        <v>16</v>
      </c>
      <c r="B17" s="32" t="s">
        <v>46</v>
      </c>
      <c r="C17" s="33">
        <v>2014</v>
      </c>
      <c r="D17" s="34">
        <v>41925</v>
      </c>
      <c r="E17" s="34">
        <v>41997</v>
      </c>
      <c r="F17" s="34">
        <v>42065</v>
      </c>
      <c r="G17" s="34">
        <v>42083</v>
      </c>
      <c r="H17" s="34">
        <v>42131</v>
      </c>
      <c r="I17" s="34">
        <v>42144</v>
      </c>
      <c r="J17" s="34">
        <v>42160</v>
      </c>
      <c r="K17" s="34">
        <v>42199</v>
      </c>
      <c r="L17" s="35">
        <f t="shared" si="21"/>
        <v>72</v>
      </c>
      <c r="M17" s="35">
        <f t="shared" si="21"/>
        <v>68</v>
      </c>
      <c r="N17" s="35">
        <f t="shared" si="21"/>
        <v>18</v>
      </c>
      <c r="O17" s="36">
        <f t="shared" si="8"/>
        <v>48</v>
      </c>
      <c r="P17" s="35">
        <f t="shared" si="9"/>
        <v>13</v>
      </c>
      <c r="Q17" s="35">
        <f t="shared" si="10"/>
        <v>16</v>
      </c>
      <c r="R17" s="35">
        <f t="shared" si="11"/>
        <v>39</v>
      </c>
      <c r="S17" s="35">
        <f t="shared" si="4"/>
        <v>274</v>
      </c>
      <c r="T17" s="8">
        <v>1</v>
      </c>
      <c r="U17" s="37" t="s">
        <v>7</v>
      </c>
    </row>
    <row r="18" spans="1:23" s="38" customFormat="1" ht="13.8" x14ac:dyDescent="0.25">
      <c r="A18" s="26">
        <v>17</v>
      </c>
      <c r="B18" s="32" t="s">
        <v>48</v>
      </c>
      <c r="C18" s="33">
        <v>2016</v>
      </c>
      <c r="D18" s="34">
        <v>42665</v>
      </c>
      <c r="E18" s="34">
        <v>42793</v>
      </c>
      <c r="F18" s="34">
        <v>42818</v>
      </c>
      <c r="G18" s="34">
        <v>42844</v>
      </c>
      <c r="H18" s="34">
        <v>42892</v>
      </c>
      <c r="I18" s="34">
        <v>42904</v>
      </c>
      <c r="J18" s="34">
        <v>42930</v>
      </c>
      <c r="K18" s="34">
        <v>42951</v>
      </c>
      <c r="L18" s="35">
        <f t="shared" si="21"/>
        <v>128</v>
      </c>
      <c r="M18" s="35">
        <f t="shared" si="21"/>
        <v>25</v>
      </c>
      <c r="N18" s="35">
        <f t="shared" si="21"/>
        <v>26</v>
      </c>
      <c r="O18" s="36">
        <f t="shared" si="8"/>
        <v>48</v>
      </c>
      <c r="P18" s="35">
        <f t="shared" si="9"/>
        <v>12</v>
      </c>
      <c r="Q18" s="35">
        <f t="shared" si="10"/>
        <v>26</v>
      </c>
      <c r="R18" s="35">
        <f t="shared" si="11"/>
        <v>21</v>
      </c>
      <c r="S18" s="35">
        <f t="shared" si="4"/>
        <v>286</v>
      </c>
      <c r="T18" s="8">
        <v>1</v>
      </c>
      <c r="U18" s="37" t="s">
        <v>7</v>
      </c>
    </row>
    <row r="19" spans="1:23" s="38" customFormat="1" ht="13.8" x14ac:dyDescent="0.25">
      <c r="A19" s="26">
        <v>18</v>
      </c>
      <c r="B19" s="32" t="s">
        <v>49</v>
      </c>
      <c r="C19" s="33">
        <v>2013</v>
      </c>
      <c r="D19" s="34">
        <v>41598</v>
      </c>
      <c r="E19" s="34">
        <v>41612</v>
      </c>
      <c r="F19" s="34">
        <v>41689</v>
      </c>
      <c r="G19" s="34">
        <v>41705</v>
      </c>
      <c r="H19" s="34">
        <v>41757</v>
      </c>
      <c r="I19" s="34">
        <v>41774</v>
      </c>
      <c r="J19" s="34">
        <v>41787</v>
      </c>
      <c r="K19" s="34">
        <v>41808</v>
      </c>
      <c r="L19" s="35">
        <f t="shared" si="21"/>
        <v>14</v>
      </c>
      <c r="M19" s="35">
        <f t="shared" si="21"/>
        <v>77</v>
      </c>
      <c r="N19" s="35">
        <f t="shared" si="21"/>
        <v>16</v>
      </c>
      <c r="O19" s="36">
        <f t="shared" si="8"/>
        <v>52</v>
      </c>
      <c r="P19" s="35">
        <f t="shared" si="9"/>
        <v>17</v>
      </c>
      <c r="Q19" s="35">
        <f t="shared" si="10"/>
        <v>13</v>
      </c>
      <c r="R19" s="35">
        <f t="shared" si="11"/>
        <v>21</v>
      </c>
      <c r="S19" s="35">
        <f t="shared" si="4"/>
        <v>210</v>
      </c>
      <c r="T19" s="8">
        <v>1</v>
      </c>
      <c r="U19" s="37" t="s">
        <v>7</v>
      </c>
    </row>
    <row r="20" spans="1:23" ht="13.8" x14ac:dyDescent="0.25">
      <c r="A20" s="26">
        <v>19</v>
      </c>
      <c r="B20" s="16" t="s">
        <v>15</v>
      </c>
      <c r="C20" s="15">
        <v>2016</v>
      </c>
      <c r="D20" s="21">
        <v>42662</v>
      </c>
      <c r="E20" s="21">
        <v>42777</v>
      </c>
      <c r="F20" s="21">
        <v>42827</v>
      </c>
      <c r="G20" s="21">
        <v>42860</v>
      </c>
      <c r="H20" s="21">
        <v>42877</v>
      </c>
      <c r="I20" s="21">
        <v>42884</v>
      </c>
      <c r="J20" s="21">
        <v>42909</v>
      </c>
      <c r="K20" s="21">
        <v>42939</v>
      </c>
      <c r="L20" s="5">
        <f t="shared" si="5"/>
        <v>115</v>
      </c>
      <c r="M20" s="5">
        <f t="shared" si="6"/>
        <v>50</v>
      </c>
      <c r="N20" s="5">
        <f t="shared" si="7"/>
        <v>33</v>
      </c>
      <c r="O20" s="7">
        <f t="shared" si="8"/>
        <v>17</v>
      </c>
      <c r="P20" s="5">
        <f t="shared" si="9"/>
        <v>7</v>
      </c>
      <c r="Q20" s="5">
        <f t="shared" si="10"/>
        <v>25</v>
      </c>
      <c r="R20" s="5">
        <f t="shared" si="11"/>
        <v>30</v>
      </c>
      <c r="S20" s="5">
        <f t="shared" si="4"/>
        <v>277</v>
      </c>
      <c r="T20" s="8">
        <v>1</v>
      </c>
      <c r="U20" s="8" t="s">
        <v>7</v>
      </c>
    </row>
    <row r="21" spans="1:23" ht="13.8" x14ac:dyDescent="0.25">
      <c r="A21" s="26">
        <v>20</v>
      </c>
      <c r="B21" s="16" t="s">
        <v>16</v>
      </c>
      <c r="C21" s="15">
        <v>2016</v>
      </c>
      <c r="D21" s="21">
        <v>42642</v>
      </c>
      <c r="E21" s="21">
        <v>42771</v>
      </c>
      <c r="F21" s="21">
        <v>42826</v>
      </c>
      <c r="G21" s="21">
        <v>42856</v>
      </c>
      <c r="H21" s="21">
        <v>42878</v>
      </c>
      <c r="I21" s="21">
        <v>42889</v>
      </c>
      <c r="J21" s="21">
        <v>42918</v>
      </c>
      <c r="K21" s="21">
        <v>42937</v>
      </c>
      <c r="L21" s="5">
        <f t="shared" si="5"/>
        <v>129</v>
      </c>
      <c r="M21" s="5">
        <f t="shared" si="6"/>
        <v>55</v>
      </c>
      <c r="N21" s="5">
        <f t="shared" si="7"/>
        <v>30</v>
      </c>
      <c r="O21" s="7">
        <f t="shared" si="8"/>
        <v>22</v>
      </c>
      <c r="P21" s="5">
        <f t="shared" si="9"/>
        <v>11</v>
      </c>
      <c r="Q21" s="5">
        <f t="shared" si="10"/>
        <v>29</v>
      </c>
      <c r="R21" s="5">
        <f t="shared" si="11"/>
        <v>19</v>
      </c>
      <c r="S21" s="5">
        <f t="shared" si="4"/>
        <v>295</v>
      </c>
      <c r="T21" s="8">
        <v>1</v>
      </c>
      <c r="U21" s="8" t="s">
        <v>7</v>
      </c>
      <c r="V21" t="s">
        <v>41</v>
      </c>
    </row>
    <row r="22" spans="1:23" ht="13.8" x14ac:dyDescent="0.25">
      <c r="A22" s="26">
        <v>21</v>
      </c>
      <c r="B22" s="16" t="s">
        <v>17</v>
      </c>
      <c r="C22" s="15">
        <v>2016</v>
      </c>
      <c r="D22" s="21">
        <v>42688</v>
      </c>
      <c r="E22" s="21">
        <v>42707</v>
      </c>
      <c r="F22" s="21">
        <v>42773</v>
      </c>
      <c r="G22" s="21">
        <v>42807</v>
      </c>
      <c r="H22" s="21">
        <v>42858</v>
      </c>
      <c r="I22" s="21">
        <v>42872</v>
      </c>
      <c r="J22" s="21">
        <v>42890</v>
      </c>
      <c r="K22" s="21">
        <v>42908</v>
      </c>
      <c r="L22" s="5">
        <f t="shared" si="5"/>
        <v>19</v>
      </c>
      <c r="M22" s="5">
        <f t="shared" si="6"/>
        <v>66</v>
      </c>
      <c r="N22" s="5">
        <f t="shared" si="7"/>
        <v>34</v>
      </c>
      <c r="O22" s="7">
        <f t="shared" si="8"/>
        <v>51</v>
      </c>
      <c r="P22" s="5">
        <f t="shared" si="9"/>
        <v>14</v>
      </c>
      <c r="Q22" s="5">
        <f t="shared" si="10"/>
        <v>18</v>
      </c>
      <c r="R22" s="5">
        <f t="shared" si="11"/>
        <v>18</v>
      </c>
      <c r="S22" s="5">
        <f t="shared" si="4"/>
        <v>220</v>
      </c>
      <c r="T22" s="8">
        <v>1</v>
      </c>
      <c r="U22" s="8" t="s">
        <v>7</v>
      </c>
      <c r="W22" s="31"/>
    </row>
    <row r="23" spans="1:23" ht="13.8" x14ac:dyDescent="0.25">
      <c r="A23" s="26">
        <v>22</v>
      </c>
      <c r="B23" s="16" t="s">
        <v>18</v>
      </c>
      <c r="C23" s="15">
        <v>2016</v>
      </c>
      <c r="D23" s="21">
        <v>42688</v>
      </c>
      <c r="E23" s="21">
        <v>42719</v>
      </c>
      <c r="F23" s="21">
        <v>42786</v>
      </c>
      <c r="G23" s="21">
        <v>42811</v>
      </c>
      <c r="H23" s="21">
        <v>42852</v>
      </c>
      <c r="I23" s="21">
        <v>42875</v>
      </c>
      <c r="J23" s="21">
        <v>42891</v>
      </c>
      <c r="K23" s="21">
        <v>42906</v>
      </c>
      <c r="L23" s="5">
        <f t="shared" si="5"/>
        <v>31</v>
      </c>
      <c r="M23" s="5">
        <f t="shared" si="6"/>
        <v>67</v>
      </c>
      <c r="N23" s="5">
        <f t="shared" si="7"/>
        <v>25</v>
      </c>
      <c r="O23" s="7">
        <f t="shared" si="8"/>
        <v>41</v>
      </c>
      <c r="P23" s="5">
        <f t="shared" si="9"/>
        <v>23</v>
      </c>
      <c r="Q23" s="5">
        <f t="shared" si="10"/>
        <v>16</v>
      </c>
      <c r="R23" s="5">
        <f t="shared" si="11"/>
        <v>15</v>
      </c>
      <c r="S23" s="5">
        <f t="shared" si="4"/>
        <v>218</v>
      </c>
      <c r="T23" s="8">
        <v>1</v>
      </c>
      <c r="U23" s="8" t="s">
        <v>7</v>
      </c>
    </row>
    <row r="24" spans="1:23" ht="13.8" x14ac:dyDescent="0.25">
      <c r="A24" s="26">
        <v>23</v>
      </c>
      <c r="B24" s="16" t="s">
        <v>19</v>
      </c>
      <c r="C24" s="15">
        <v>2013</v>
      </c>
      <c r="D24" s="21">
        <v>41610</v>
      </c>
      <c r="E24" s="21">
        <v>41634</v>
      </c>
      <c r="F24" s="21">
        <v>41668</v>
      </c>
      <c r="G24" s="21">
        <v>41709</v>
      </c>
      <c r="H24" s="21">
        <v>41745</v>
      </c>
      <c r="I24" s="21">
        <v>41764</v>
      </c>
      <c r="J24" s="21">
        <v>41793</v>
      </c>
      <c r="K24" s="21">
        <v>41802</v>
      </c>
      <c r="L24" s="5">
        <f t="shared" si="5"/>
        <v>24</v>
      </c>
      <c r="M24" s="5">
        <f t="shared" si="6"/>
        <v>34</v>
      </c>
      <c r="N24" s="5">
        <f t="shared" si="7"/>
        <v>41</v>
      </c>
      <c r="O24" s="7">
        <f t="shared" si="8"/>
        <v>36</v>
      </c>
      <c r="P24" s="5">
        <f t="shared" si="9"/>
        <v>19</v>
      </c>
      <c r="Q24" s="5">
        <f t="shared" si="10"/>
        <v>29</v>
      </c>
      <c r="R24" s="5">
        <f t="shared" si="11"/>
        <v>9</v>
      </c>
      <c r="S24" s="5">
        <f t="shared" si="4"/>
        <v>192</v>
      </c>
      <c r="T24" s="8">
        <v>1</v>
      </c>
      <c r="U24" s="8" t="s">
        <v>7</v>
      </c>
    </row>
    <row r="25" spans="1:23" ht="14.4" x14ac:dyDescent="0.3">
      <c r="A25" s="26">
        <v>24</v>
      </c>
      <c r="B25" s="18" t="s">
        <v>19</v>
      </c>
      <c r="C25" s="17">
        <v>2016</v>
      </c>
      <c r="D25" s="22">
        <v>42703</v>
      </c>
      <c r="E25" s="22">
        <v>42730</v>
      </c>
      <c r="F25" s="22">
        <v>42783</v>
      </c>
      <c r="G25" s="22">
        <v>42814</v>
      </c>
      <c r="H25" s="22">
        <v>42853</v>
      </c>
      <c r="I25" s="22">
        <v>42872</v>
      </c>
      <c r="J25" s="22">
        <v>42887</v>
      </c>
      <c r="K25" s="23">
        <v>42898</v>
      </c>
      <c r="L25" s="5">
        <f t="shared" si="5"/>
        <v>27</v>
      </c>
      <c r="M25" s="5">
        <f t="shared" si="6"/>
        <v>53</v>
      </c>
      <c r="N25" s="5">
        <f t="shared" si="7"/>
        <v>31</v>
      </c>
      <c r="O25" s="7">
        <f t="shared" si="8"/>
        <v>39</v>
      </c>
      <c r="P25" s="5">
        <f t="shared" si="9"/>
        <v>19</v>
      </c>
      <c r="Q25" s="5">
        <f t="shared" si="10"/>
        <v>15</v>
      </c>
      <c r="R25" s="5">
        <f t="shared" si="11"/>
        <v>11</v>
      </c>
      <c r="S25" s="5">
        <f t="shared" si="4"/>
        <v>195</v>
      </c>
      <c r="T25" s="8">
        <v>1</v>
      </c>
      <c r="U25" s="8" t="s">
        <v>7</v>
      </c>
      <c r="V25" t="s">
        <v>40</v>
      </c>
    </row>
    <row r="26" spans="1:23" x14ac:dyDescent="0.25">
      <c r="A26" s="1"/>
      <c r="K26" s="19"/>
      <c r="L26" s="31">
        <f>SUM(L2:L11)+L20+SUM(L22:L24)</f>
        <v>505</v>
      </c>
      <c r="M26" s="31">
        <f>SUM(M2:M11)+M20+SUM(M22:M24)</f>
        <v>692</v>
      </c>
      <c r="N26" s="31">
        <f>SUM(N2:N11)+N20+SUM(N22:N24)</f>
        <v>465</v>
      </c>
      <c r="O26" s="31">
        <f>SUM(O2:O11)+O20+SUM(O22:O24)</f>
        <v>527</v>
      </c>
      <c r="P26" s="31">
        <f>SUM(P2:P11)+P20+SUM(P22:P24)</f>
        <v>207</v>
      </c>
      <c r="Q26" s="31">
        <f>SUM(Q2:Q11)+Q20+SUM(Q22:Q24)</f>
        <v>292</v>
      </c>
      <c r="R26" s="31">
        <f>SUM(R2:R11)+R20+SUM(R22:R24)</f>
        <v>339</v>
      </c>
      <c r="S26" s="31">
        <f>SUM(S2:S11)+S20+SUM(S22:S24)</f>
        <v>3027</v>
      </c>
    </row>
    <row r="27" spans="1:23" ht="11.4" customHeight="1" x14ac:dyDescent="0.25">
      <c r="A27" s="1"/>
    </row>
    <row r="28" spans="1:23" x14ac:dyDescent="0.25">
      <c r="A28" s="1"/>
    </row>
    <row r="29" spans="1:23" x14ac:dyDescent="0.25">
      <c r="A29" s="1"/>
    </row>
    <row r="30" spans="1:23" x14ac:dyDescent="0.25">
      <c r="A30" s="1"/>
    </row>
    <row r="31" spans="1:23" x14ac:dyDescent="0.25">
      <c r="A31" s="1"/>
    </row>
    <row r="32" spans="1:2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</sheetData>
  <phoneticPr fontId="10" type="noConversion"/>
  <pageMargins left="0.7" right="0.7" top="0.75" bottom="0.75" header="0.3" footer="0.3"/>
  <ignoredErrors>
    <ignoredError sqref="B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Keçeci</cp:lastModifiedBy>
  <dcterms:modified xsi:type="dcterms:W3CDTF">2026-10-20T10:16:24Z</dcterms:modified>
</cp:coreProperties>
</file>